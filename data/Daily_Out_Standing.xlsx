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Work\RECAPO\Code Base\NNF_Recapo\data\"/>
    </mc:Choice>
  </mc:AlternateContent>
  <bookViews>
    <workbookView xWindow="0" yWindow="0" windowWidth="20460" windowHeight="7470" activeTab="3"/>
  </bookViews>
  <sheets>
    <sheet name="Dashboard" sheetId="1" r:id="rId1"/>
    <sheet name="Collected" sheetId="2" r:id="rId2"/>
    <sheet name="PIVOT" sheetId="3" r:id="rId3"/>
    <sheet name="DASH" sheetId="4" r:id="rId4"/>
  </sheets>
  <definedNames>
    <definedName name="_xlcn.WorksheetConnection_Daily_Out_Standing.xlsxTable11" hidden="1">Table1[]</definedName>
    <definedName name="Slicer_Day">#N/A</definedName>
  </definedNames>
  <calcPr calcId="162913"/>
  <pivotCaches>
    <pivotCache cacheId="80" r:id="rId5"/>
    <pivotCache cacheId="83" r:id="rId6"/>
    <pivotCache cacheId="86" r:id="rId7"/>
    <pivotCache cacheId="89" r:id="rId8"/>
  </pivotCaches>
  <extLst>
    <ext xmlns:x14="http://schemas.microsoft.com/office/spreadsheetml/2009/9/main" uri="{876F7934-8845-4945-9796-88D515C7AA90}">
      <x14:pivotCaches>
        <pivotCache cacheId="7"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Daily_Out_Standing.xlsx!Table1"/>
        </x15:modelTables>
      </x15:dataModel>
    </ext>
  </extLst>
</workbook>
</file>

<file path=xl/calcChain.xml><?xml version="1.0" encoding="utf-8"?>
<calcChain xmlns="http://schemas.openxmlformats.org/spreadsheetml/2006/main">
  <c r="F10" i="1" l="1"/>
  <c r="F11" i="1"/>
  <c r="F12" i="1"/>
  <c r="E11" i="1"/>
  <c r="E10" i="1"/>
  <c r="E12" i="1"/>
  <c r="A2" i="1" l="1"/>
  <c r="E2" i="1"/>
  <c r="A3" i="1"/>
  <c r="E3" i="1"/>
  <c r="A4" i="1"/>
  <c r="A5" i="1"/>
  <c r="E5" i="1"/>
  <c r="A6" i="1"/>
  <c r="E6" i="1"/>
  <c r="E7" i="1"/>
  <c r="F7" i="1"/>
  <c r="E8" i="1"/>
  <c r="F8" i="1"/>
  <c r="E9" i="1"/>
  <c r="F9" i="1"/>
  <c r="F6" i="1" l="1"/>
  <c r="F3" i="1"/>
  <c r="F5" i="1"/>
  <c r="A4" i="2"/>
  <c r="A5" i="2"/>
  <c r="A3" i="2" l="1"/>
  <c r="A2"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ily_Out_Standing.xlsx!Table1" type="102" refreshedVersion="6" minRefreshableVersion="5">
    <extLst>
      <ext xmlns:x15="http://schemas.microsoft.com/office/spreadsheetml/2010/11/main" uri="{DE250136-89BD-433C-8126-D09CA5730AF9}">
        <x15:connection id="Table1" autoDelete="1">
          <x15:rangePr sourceName="_xlcn.WorksheetConnection_Daily_Out_Standing.xlsxTable11"/>
        </x15:connection>
      </ext>
    </extLst>
  </connection>
</connections>
</file>

<file path=xl/sharedStrings.xml><?xml version="1.0" encoding="utf-8"?>
<sst xmlns="http://schemas.openxmlformats.org/spreadsheetml/2006/main" count="34" uniqueCount="14">
  <si>
    <t>Db id</t>
  </si>
  <si>
    <t>Sales product</t>
  </si>
  <si>
    <t>MySol NEO 2</t>
  </si>
  <si>
    <t>Day</t>
  </si>
  <si>
    <t>Difference_Outstanding</t>
  </si>
  <si>
    <t>Outstanding</t>
  </si>
  <si>
    <t>Collected</t>
  </si>
  <si>
    <t>ID</t>
  </si>
  <si>
    <t>Row Labels</t>
  </si>
  <si>
    <t>Grand Total</t>
  </si>
  <si>
    <t>Sum of Outstanding</t>
  </si>
  <si>
    <t>Sum of Difference_Outstanding</t>
  </si>
  <si>
    <t>Difference_Rise</t>
  </si>
  <si>
    <t>Sum of Difference_Rise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</si>
</sst>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MK&quot;#,##0;[Red]\-&quot;MK&quot;#,##0"/>
    <numFmt numFmtId="8" formatCode="&quot;MK&quot;#,##0.00;[Red]\-&quot;MK&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0" fontId="0" fillId="33" borderId="0" xfId="0" applyFill="1" applyAlignment="1">
      <alignment horizontal="center"/>
    </xf>
    <xf numFmtId="14" fontId="0" fillId="33" borderId="0" xfId="0" applyNumberFormat="1" applyFill="1" applyAlignment="1">
      <alignment horizontal="center"/>
    </xf>
    <xf numFmtId="8" fontId="0" fillId="33" borderId="0" xfId="0" applyNumberFormat="1" applyFill="1" applyAlignment="1">
      <alignment horizontal="center"/>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8" fontId="0" fillId="0" borderId="0" xfId="0" applyNumberFormat="1"/>
    <xf numFmtId="0" fontId="0" fillId="34" borderId="0" xfId="0" applyFill="1"/>
    <xf numFmtId="8" fontId="0" fillId="0" borderId="0" xfId="0" applyNumberFormat="1" applyAlignment="1">
      <alignment horizontal="left"/>
    </xf>
    <xf numFmtId="0" fontId="0" fillId="33" borderId="0" xfId="0" applyFill="1" applyAlignment="1">
      <alignment horizontal="left"/>
    </xf>
    <xf numFmtId="14" fontId="0" fillId="33" borderId="0" xfId="0" applyNumberFormat="1" applyFill="1" applyAlignment="1">
      <alignment horizontal="left"/>
    </xf>
    <xf numFmtId="8" fontId="0" fillId="33" borderId="0" xfId="0" applyNumberFormat="1" applyFill="1" applyAlignment="1">
      <alignment horizontal="left"/>
    </xf>
    <xf numFmtId="8" fontId="0" fillId="0" borderId="0" xfId="0" applyNumberFormat="1" applyAlignment="1">
      <alignment horizontal="left" vertical="center" wrapText="1"/>
    </xf>
    <xf numFmtId="6" fontId="0" fillId="0" borderId="0" xfId="0" applyNumberForma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2" formatCode="&quot;MK&quot;#,##0.00;[Red]\-&quot;MK&quot;#,##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2" formatCode="&quot;MK&quot;#,##0.00;[Red]\-&quot;MK&quot;#,##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2" formatCode="&quot;MK&quot;#,##0.00;[Red]\-&quot;MK&quot;#,##0.0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[Daily_Out_Standing.xlsx]PIVOT!PivotTable4</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PIVOT!$E$21</c:f>
              <c:strCache>
                <c:ptCount val="1"/>
                <c:pt idx="0">
                  <c:v>Total</c:v>
                </c:pt>
              </c:strCache>
            </c:strRef>
          </c:tx>
          <c:spPr>
            <a:solidFill>
              <a:schemeClr val="accent1"/>
            </a:solidFill>
            <a:ln>
              <a:noFill/>
            </a:ln>
            <a:effectLst/>
          </c:spPr>
          <c:invertIfNegative val="0"/>
          <c:cat>
            <c:strRef>
              <c:f>PIVOT!$D$22:$D$32</c:f>
              <c:strCache>
                <c:ptCount val="10"/>
                <c:pt idx="0">
                  <c:v>12/05/2026</c:v>
                </c:pt>
                <c:pt idx="1">
                  <c:v>13/05/2026</c:v>
                </c:pt>
                <c:pt idx="2">
                  <c:v>15/05/2026</c:v>
                </c:pt>
                <c:pt idx="3">
                  <c:v>16/05/2026</c:v>
                </c:pt>
                <c:pt idx="4">
                  <c:v>21/05/2026</c:v>
                </c:pt>
                <c:pt idx="5">
                  <c:v>24/05/2026</c:v>
                </c:pt>
                <c:pt idx="6">
                  <c:v>26/05/2026</c:v>
                </c:pt>
                <c:pt idx="7">
                  <c:v>27/05/2026</c:v>
                </c:pt>
                <c:pt idx="8">
                  <c:v>28/05/2026</c:v>
                </c:pt>
                <c:pt idx="9">
                  <c:v>30/05/2026</c:v>
                </c:pt>
              </c:strCache>
            </c:strRef>
          </c:cat>
          <c:val>
            <c:numRef>
              <c:f>PIVOT!$E$22:$E$32</c:f>
              <c:numCache>
                <c:formatCode>"MK"#,##0.00_);[Red]\("MK"#,##0.00\)</c:formatCode>
                <c:ptCount val="10"/>
                <c:pt idx="0">
                  <c:v>0</c:v>
                </c:pt>
                <c:pt idx="1">
                  <c:v>502833</c:v>
                </c:pt>
                <c:pt idx="2">
                  <c:v>683489</c:v>
                </c:pt>
                <c:pt idx="3">
                  <c:v>993143</c:v>
                </c:pt>
                <c:pt idx="4">
                  <c:v>1097997</c:v>
                </c:pt>
                <c:pt idx="5">
                  <c:v>760757</c:v>
                </c:pt>
                <c:pt idx="6">
                  <c:v>715762</c:v>
                </c:pt>
                <c:pt idx="7">
                  <c:v>396800</c:v>
                </c:pt>
                <c:pt idx="8">
                  <c:v>326006</c:v>
                </c:pt>
                <c:pt idx="9">
                  <c:v>623821</c:v>
                </c:pt>
              </c:numCache>
            </c:numRef>
          </c:val>
          <c:extLst>
            <c:ext xmlns:c16="http://schemas.microsoft.com/office/drawing/2014/chart" uri="{C3380CC4-5D6E-409C-BE32-E72D297353CC}">
              <c16:uniqueId val="{00000000-7F33-46FF-B38F-F0711A3CD3C3}"/>
            </c:ext>
          </c:extLst>
        </c:ser>
        <c:dLbls>
          <c:showLegendKey val="0"/>
          <c:showVal val="0"/>
          <c:showCatName val="0"/>
          <c:showSerName val="0"/>
          <c:showPercent val="0"/>
          <c:showBubbleSize val="0"/>
        </c:dLbls>
        <c:gapWidth val="182"/>
        <c:axId val="1601924495"/>
        <c:axId val="1601921999"/>
      </c:barChart>
      <c:catAx>
        <c:axId val="160192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1999"/>
        <c:crosses val="autoZero"/>
        <c:auto val="1"/>
        <c:lblAlgn val="ctr"/>
        <c:lblOffset val="100"/>
        <c:noMultiLvlLbl val="0"/>
      </c:catAx>
      <c:valAx>
        <c:axId val="1601921999"/>
        <c:scaling>
          <c:orientation val="minMax"/>
        </c:scaling>
        <c:delete val="0"/>
        <c:axPos val="b"/>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4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[Daily_Out_Standing.xlsx]PIVOT!PivotTable3</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cat>
            <c:strRef>
              <c:f>PIVOT!$A$37:$A$47</c:f>
              <c:strCache>
                <c:ptCount val="10"/>
                <c:pt idx="0">
                  <c:v>12/05/2026</c:v>
                </c:pt>
                <c:pt idx="1">
                  <c:v>13/05/2026</c:v>
                </c:pt>
                <c:pt idx="2">
                  <c:v>15/05/2026</c:v>
                </c:pt>
                <c:pt idx="3">
                  <c:v>16/05/2026</c:v>
                </c:pt>
                <c:pt idx="4">
                  <c:v>21/05/2026</c:v>
                </c:pt>
                <c:pt idx="5">
                  <c:v>24/05/2026</c:v>
                </c:pt>
                <c:pt idx="6">
                  <c:v>26/05/2026</c:v>
                </c:pt>
                <c:pt idx="7">
                  <c:v>27/05/2026</c:v>
                </c:pt>
                <c:pt idx="8">
                  <c:v>28/05/2026</c:v>
                </c:pt>
                <c:pt idx="9">
                  <c:v>30/05/2026</c:v>
                </c:pt>
              </c:strCache>
            </c:strRef>
          </c:cat>
          <c:val>
            <c:numRef>
              <c:f>PIVOT!$B$37:$B$47</c:f>
              <c:numCache>
                <c:formatCode>"MK"#,##0.00_);[Red]\("MK"#,##0.00\)</c:formatCode>
                <c:ptCount val="10"/>
                <c:pt idx="0">
                  <c:v>0</c:v>
                </c:pt>
                <c:pt idx="1">
                  <c:v>502833</c:v>
                </c:pt>
                <c:pt idx="2">
                  <c:v>683489</c:v>
                </c:pt>
                <c:pt idx="3">
                  <c:v>993143</c:v>
                </c:pt>
                <c:pt idx="4">
                  <c:v>1097997</c:v>
                </c:pt>
                <c:pt idx="5">
                  <c:v>760757</c:v>
                </c:pt>
                <c:pt idx="6">
                  <c:v>715762</c:v>
                </c:pt>
                <c:pt idx="7">
                  <c:v>396800</c:v>
                </c:pt>
                <c:pt idx="8">
                  <c:v>326006</c:v>
                </c:pt>
                <c:pt idx="9">
                  <c:v>623821</c:v>
                </c:pt>
              </c:numCache>
            </c:numRef>
          </c:val>
          <c:extLst>
            <c:ext xmlns:c16="http://schemas.microsoft.com/office/drawing/2014/chart" uri="{C3380CC4-5D6E-409C-BE32-E72D297353CC}">
              <c16:uniqueId val="{00000000-16B4-41EF-8AFB-5001CBF3866F}"/>
            </c:ext>
          </c:extLst>
        </c:ser>
        <c:dLbls>
          <c:showLegendKey val="0"/>
          <c:showVal val="0"/>
          <c:showCatName val="0"/>
          <c:showSerName val="0"/>
          <c:showPercent val="0"/>
          <c:showBubbleSize val="0"/>
        </c:dLbls>
        <c:gapWidth val="219"/>
        <c:overlap val="-27"/>
        <c:axId val="483106432"/>
        <c:axId val="483104768"/>
      </c:barChart>
      <c:catAx>
        <c:axId val="48310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04768"/>
        <c:crosses val="autoZero"/>
        <c:auto val="1"/>
        <c:lblAlgn val="ctr"/>
        <c:lblOffset val="100"/>
        <c:noMultiLvlLbl val="0"/>
      </c:catAx>
      <c:valAx>
        <c:axId val="483104768"/>
        <c:scaling>
          <c:orientation val="minMax"/>
        </c:scaling>
        <c:delete val="0"/>
        <c:axPos val="l"/>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06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[Daily_Out_Standing.xlsx]PIVOT!PivotTable1</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PIVOT!$B$20</c:f>
              <c:strCache>
                <c:ptCount val="1"/>
                <c:pt idx="0">
                  <c:v>Total</c:v>
                </c:pt>
              </c:strCache>
            </c:strRef>
          </c:tx>
          <c:spPr>
            <a:ln w="28575" cap="rnd">
              <a:solidFill>
                <a:schemeClr val="accent1"/>
              </a:solidFill>
              <a:round/>
            </a:ln>
            <a:effectLst/>
          </c:spPr>
          <c:marker>
            <c:symbol val="none"/>
          </c:marker>
          <c:cat>
            <c:strRef>
              <c:f>PIVOT!$A$21:$A$31</c:f>
              <c:strCache>
                <c:ptCount val="10"/>
                <c:pt idx="0">
                  <c:v>12/05/2026</c:v>
                </c:pt>
                <c:pt idx="1">
                  <c:v>13/05/2026</c:v>
                </c:pt>
                <c:pt idx="2">
                  <c:v>15/05/2026</c:v>
                </c:pt>
                <c:pt idx="3">
                  <c:v>16/05/2026</c:v>
                </c:pt>
                <c:pt idx="4">
                  <c:v>21/05/2026</c:v>
                </c:pt>
                <c:pt idx="5">
                  <c:v>24/05/2026</c:v>
                </c:pt>
                <c:pt idx="6">
                  <c:v>26/05/2026</c:v>
                </c:pt>
                <c:pt idx="7">
                  <c:v>27/05/2026</c:v>
                </c:pt>
                <c:pt idx="8">
                  <c:v>28/05/2026</c:v>
                </c:pt>
                <c:pt idx="9">
                  <c:v>30/05/2026</c:v>
                </c:pt>
              </c:strCache>
            </c:strRef>
          </c:cat>
          <c:val>
            <c:numRef>
              <c:f>PIVOT!$B$21:$B$31</c:f>
              <c:numCache>
                <c:formatCode>"MK"#,##0.00_);[Red]\("MK"#,##0.00\)</c:formatCode>
                <c:ptCount val="10"/>
                <c:pt idx="0">
                  <c:v>0</c:v>
                </c:pt>
                <c:pt idx="1">
                  <c:v>502833</c:v>
                </c:pt>
                <c:pt idx="2">
                  <c:v>180656</c:v>
                </c:pt>
                <c:pt idx="3">
                  <c:v>309654</c:v>
                </c:pt>
                <c:pt idx="4">
                  <c:v>104854</c:v>
                </c:pt>
                <c:pt idx="5">
                  <c:v>-337240</c:v>
                </c:pt>
                <c:pt idx="6">
                  <c:v>-44995</c:v>
                </c:pt>
                <c:pt idx="7">
                  <c:v>-318962</c:v>
                </c:pt>
                <c:pt idx="8">
                  <c:v>-70794</c:v>
                </c:pt>
                <c:pt idx="9">
                  <c:v>297815</c:v>
                </c:pt>
              </c:numCache>
            </c:numRef>
          </c:val>
          <c:smooth val="0"/>
          <c:extLst>
            <c:ext xmlns:c16="http://schemas.microsoft.com/office/drawing/2014/chart" uri="{C3380CC4-5D6E-409C-BE32-E72D297353CC}">
              <c16:uniqueId val="{00000000-30EF-45C1-BFF0-E23B8C649049}"/>
            </c:ext>
          </c:extLst>
        </c:ser>
        <c:dLbls>
          <c:showLegendKey val="0"/>
          <c:showVal val="0"/>
          <c:showCatName val="0"/>
          <c:showSerName val="0"/>
          <c:showPercent val="0"/>
          <c:showBubbleSize val="0"/>
        </c:dLbls>
        <c:smooth val="0"/>
        <c:axId val="199646304"/>
        <c:axId val="199652128"/>
      </c:lineChart>
      <c:catAx>
        <c:axId val="19964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2128"/>
        <c:crosses val="autoZero"/>
        <c:auto val="1"/>
        <c:lblAlgn val="ctr"/>
        <c:lblOffset val="100"/>
        <c:noMultiLvlLbl val="0"/>
      </c:catAx>
      <c:valAx>
        <c:axId val="199652128"/>
        <c:scaling>
          <c:orientation val="minMax"/>
        </c:scaling>
        <c:delete val="0"/>
        <c:axPos val="l"/>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6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[Daily_Out_Standing.xlsx]PIVOT!PivotTable4</c:name>
    <c:fmtId val="18"/>
  </c:pivotSource>
  <c:chart>
    <c:autoTitleDeleted val="1"/>
    <c:pivotFmts>
      <c:pivotFmt>
        <c:idx val="0"/>
      </c:pivotFmt>
      <c:pivotFmt>
        <c:idx val="1"/>
      </c:pivotFmt>
      <c:pivotFmt>
        <c:idx val="2"/>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manualLayout>
          <c:layoutTarget val="inner"/>
          <c:xMode val="edge"/>
          <c:yMode val="edge"/>
          <c:x val="8.8538567334615528E-2"/>
          <c:y val="7.496112281739431E-2"/>
          <c:w val="0.80572649713149114"/>
          <c:h val="0.76730324202432443"/>
        </c:manualLayout>
      </c:layout>
      <c:barChart>
        <c:barDir val="bar"/>
        <c:grouping val="clustered"/>
        <c:varyColors val="0"/>
        <c:ser>
          <c:idx val="0"/>
          <c:order val="0"/>
          <c:tx>
            <c:strRef>
              <c:f>PIVOT!$E$21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PIVOT!$D$22:$D$32</c:f>
              <c:strCache>
                <c:ptCount val="10"/>
                <c:pt idx="0">
                  <c:v>12/05/2026</c:v>
                </c:pt>
                <c:pt idx="1">
                  <c:v>13/05/2026</c:v>
                </c:pt>
                <c:pt idx="2">
                  <c:v>15/05/2026</c:v>
                </c:pt>
                <c:pt idx="3">
                  <c:v>16/05/2026</c:v>
                </c:pt>
                <c:pt idx="4">
                  <c:v>21/05/2026</c:v>
                </c:pt>
                <c:pt idx="5">
                  <c:v>24/05/2026</c:v>
                </c:pt>
                <c:pt idx="6">
                  <c:v>26/05/2026</c:v>
                </c:pt>
                <c:pt idx="7">
                  <c:v>27/05/2026</c:v>
                </c:pt>
                <c:pt idx="8">
                  <c:v>28/05/2026</c:v>
                </c:pt>
                <c:pt idx="9">
                  <c:v>30/05/2026</c:v>
                </c:pt>
              </c:strCache>
            </c:strRef>
          </c:cat>
          <c:val>
            <c:numRef>
              <c:f>PIVOT!$E$22:$E$32</c:f>
              <c:numCache>
                <c:formatCode>"MK"#,##0.00_);[Red]\("MK"#,##0.00\)</c:formatCode>
                <c:ptCount val="10"/>
                <c:pt idx="0">
                  <c:v>0</c:v>
                </c:pt>
                <c:pt idx="1">
                  <c:v>502833</c:v>
                </c:pt>
                <c:pt idx="2">
                  <c:v>683489</c:v>
                </c:pt>
                <c:pt idx="3">
                  <c:v>993143</c:v>
                </c:pt>
                <c:pt idx="4">
                  <c:v>1097997</c:v>
                </c:pt>
                <c:pt idx="5">
                  <c:v>760757</c:v>
                </c:pt>
                <c:pt idx="6">
                  <c:v>715762</c:v>
                </c:pt>
                <c:pt idx="7">
                  <c:v>396800</c:v>
                </c:pt>
                <c:pt idx="8">
                  <c:v>326006</c:v>
                </c:pt>
                <c:pt idx="9">
                  <c:v>623821</c:v>
                </c:pt>
              </c:numCache>
            </c:numRef>
          </c:val>
          <c:extLst>
            <c:ext xmlns:c16="http://schemas.microsoft.com/office/drawing/2014/chart" uri="{C3380CC4-5D6E-409C-BE32-E72D297353CC}">
              <c16:uniqueId val="{00000000-D165-4E74-B929-C1D1E5717B15}"/>
            </c:ext>
          </c:extLst>
        </c:ser>
        <c:dLbls>
          <c:showLegendKey val="0"/>
          <c:showVal val="0"/>
          <c:showCatName val="0"/>
          <c:showSerName val="0"/>
          <c:showPercent val="0"/>
          <c:showBubbleSize val="0"/>
        </c:dLbls>
        <c:gapWidth val="326"/>
        <c:overlap val="-58"/>
        <c:axId val="1601924495"/>
        <c:axId val="1601921999"/>
      </c:barChart>
      <c:catAx>
        <c:axId val="160192449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1999"/>
        <c:crosses val="autoZero"/>
        <c:auto val="1"/>
        <c:lblAlgn val="ctr"/>
        <c:lblOffset val="100"/>
        <c:noMultiLvlLbl val="0"/>
      </c:catAx>
      <c:valAx>
        <c:axId val="1601921999"/>
        <c:scaling>
          <c:orientation val="minMax"/>
        </c:scaling>
        <c:delete val="0"/>
        <c:axPos val="b"/>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01924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[Daily_Out_Standing.xlsx]PIVOT!PivotTable3</c:name>
    <c:fmtId val="16"/>
  </c:pivotSource>
  <c:chart>
    <c:autoTitleDeleted val="1"/>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1500" b="0" i="0" u="none" strike="noStrike" kern="1200" baseline="0">
                    <a:solidFill>
                      <a:schemeClr val="tx2"/>
                    </a:solidFill>
                    <a:latin typeface="+mn-lt"/>
                    <a:ea typeface="+mn-ea"/>
                    <a:cs typeface="+mn-cs"/>
                  </a:defRPr>
                </a:pPr>
                <a:fld id="{B8635B81-8830-4591-9F21-02E57C20B3FF}" type="VALUE">
                  <a:rPr lang="en-US" b="1"/>
                  <a:pPr>
                    <a:defRPr sz="15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859806994677986"/>
          <c:y val="0.12316868690168915"/>
          <c:w val="0.84946705375102571"/>
          <c:h val="0.64077106544254581"/>
        </c:manualLayout>
      </c:layout>
      <c:barChart>
        <c:barDir val="col"/>
        <c:grouping val="clustered"/>
        <c:varyColors val="0"/>
        <c:ser>
          <c:idx val="0"/>
          <c:order val="0"/>
          <c:tx>
            <c:strRef>
              <c:f>PIVOT!$B$36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PIVOT!$A$37:$A$47</c:f>
              <c:strCache>
                <c:ptCount val="10"/>
                <c:pt idx="0">
                  <c:v>12/05/2026</c:v>
                </c:pt>
                <c:pt idx="1">
                  <c:v>13/05/2026</c:v>
                </c:pt>
                <c:pt idx="2">
                  <c:v>15/05/2026</c:v>
                </c:pt>
                <c:pt idx="3">
                  <c:v>16/05/2026</c:v>
                </c:pt>
                <c:pt idx="4">
                  <c:v>21/05/2026</c:v>
                </c:pt>
                <c:pt idx="5">
                  <c:v>24/05/2026</c:v>
                </c:pt>
                <c:pt idx="6">
                  <c:v>26/05/2026</c:v>
                </c:pt>
                <c:pt idx="7">
                  <c:v>27/05/2026</c:v>
                </c:pt>
                <c:pt idx="8">
                  <c:v>28/05/2026</c:v>
                </c:pt>
                <c:pt idx="9">
                  <c:v>30/05/2026</c:v>
                </c:pt>
              </c:strCache>
            </c:strRef>
          </c:cat>
          <c:val>
            <c:numRef>
              <c:f>PIVOT!$B$37:$B$47</c:f>
              <c:numCache>
                <c:formatCode>"MK"#,##0.00_);[Red]\("MK"#,##0.00\)</c:formatCode>
                <c:ptCount val="10"/>
                <c:pt idx="0">
                  <c:v>0</c:v>
                </c:pt>
                <c:pt idx="1">
                  <c:v>502833</c:v>
                </c:pt>
                <c:pt idx="2">
                  <c:v>683489</c:v>
                </c:pt>
                <c:pt idx="3">
                  <c:v>993143</c:v>
                </c:pt>
                <c:pt idx="4">
                  <c:v>1097997</c:v>
                </c:pt>
                <c:pt idx="5">
                  <c:v>760757</c:v>
                </c:pt>
                <c:pt idx="6">
                  <c:v>715762</c:v>
                </c:pt>
                <c:pt idx="7">
                  <c:v>396800</c:v>
                </c:pt>
                <c:pt idx="8">
                  <c:v>326006</c:v>
                </c:pt>
                <c:pt idx="9">
                  <c:v>623821</c:v>
                </c:pt>
              </c:numCache>
            </c:numRef>
          </c:val>
          <c:extLst>
            <c:ext xmlns:c16="http://schemas.microsoft.com/office/drawing/2014/chart" uri="{C3380CC4-5D6E-409C-BE32-E72D297353CC}">
              <c16:uniqueId val="{00000001-DD3E-4D04-99F9-42AACA6C5896}"/>
            </c:ext>
          </c:extLst>
        </c:ser>
        <c:dLbls>
          <c:dLblPos val="outEnd"/>
          <c:showLegendKey val="0"/>
          <c:showVal val="1"/>
          <c:showCatName val="0"/>
          <c:showSerName val="0"/>
          <c:showPercent val="0"/>
          <c:showBubbleSize val="0"/>
        </c:dLbls>
        <c:gapWidth val="100"/>
        <c:overlap val="-24"/>
        <c:axId val="483106432"/>
        <c:axId val="483104768"/>
      </c:barChart>
      <c:catAx>
        <c:axId val="483106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4">
                    <a:lumMod val="50000"/>
                  </a:schemeClr>
                </a:solidFill>
                <a:latin typeface="+mn-lt"/>
                <a:ea typeface="+mn-ea"/>
                <a:cs typeface="+mn-cs"/>
              </a:defRPr>
            </a:pPr>
            <a:endParaRPr lang="en-US"/>
          </a:p>
        </c:txPr>
        <c:crossAx val="483104768"/>
        <c:crosses val="autoZero"/>
        <c:auto val="1"/>
        <c:lblAlgn val="ctr"/>
        <c:lblOffset val="100"/>
        <c:noMultiLvlLbl val="0"/>
      </c:catAx>
      <c:valAx>
        <c:axId val="483104768"/>
        <c:scaling>
          <c:orientation val="minMax"/>
        </c:scaling>
        <c:delete val="0"/>
        <c:axPos val="l"/>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483106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[Daily_Out_Standing.xlsx]PIVOT!PivotTable1</c:name>
    <c:fmtId val="23"/>
  </c:pivotSource>
  <c:chart>
    <c:title>
      <c:tx>
        <c:rich>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r>
              <a:rPr lang="en-US"/>
              <a:t>DIffrence Rise</a:t>
            </a:r>
          </a:p>
        </c:rich>
      </c:tx>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endParaRPr lang="en-US"/>
        </a:p>
      </c:txPr>
    </c:title>
    <c:autoTitleDeleted val="0"/>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1">
                <a:lumMod val="75000"/>
              </a:schemeClr>
            </a:soli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6.4007253347866916E-2"/>
          <c:y val="4.0921432053601825E-2"/>
          <c:w val="0.93599274665213306"/>
          <c:h val="0.91419127483660245"/>
        </c:manualLayout>
      </c:layout>
      <c:lineChart>
        <c:grouping val="standard"/>
        <c:varyColors val="0"/>
        <c:ser>
          <c:idx val="0"/>
          <c:order val="0"/>
          <c:tx>
            <c:strRef>
              <c:f>PIVOT!$B$20</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chemeClr val="accent1">
                    <a:lumMod val="75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E082-425F-854F-C83C3104486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PIVOT!$A$21:$A$31</c:f>
              <c:strCache>
                <c:ptCount val="10"/>
                <c:pt idx="0">
                  <c:v>12/05/2026</c:v>
                </c:pt>
                <c:pt idx="1">
                  <c:v>13/05/2026</c:v>
                </c:pt>
                <c:pt idx="2">
                  <c:v>15/05/2026</c:v>
                </c:pt>
                <c:pt idx="3">
                  <c:v>16/05/2026</c:v>
                </c:pt>
                <c:pt idx="4">
                  <c:v>21/05/2026</c:v>
                </c:pt>
                <c:pt idx="5">
                  <c:v>24/05/2026</c:v>
                </c:pt>
                <c:pt idx="6">
                  <c:v>26/05/2026</c:v>
                </c:pt>
                <c:pt idx="7">
                  <c:v>27/05/2026</c:v>
                </c:pt>
                <c:pt idx="8">
                  <c:v>28/05/2026</c:v>
                </c:pt>
                <c:pt idx="9">
                  <c:v>30/05/2026</c:v>
                </c:pt>
              </c:strCache>
            </c:strRef>
          </c:cat>
          <c:val>
            <c:numRef>
              <c:f>PIVOT!$B$21:$B$31</c:f>
              <c:numCache>
                <c:formatCode>"MK"#,##0.00_);[Red]\("MK"#,##0.00\)</c:formatCode>
                <c:ptCount val="10"/>
                <c:pt idx="0">
                  <c:v>0</c:v>
                </c:pt>
                <c:pt idx="1">
                  <c:v>502833</c:v>
                </c:pt>
                <c:pt idx="2">
                  <c:v>180656</c:v>
                </c:pt>
                <c:pt idx="3">
                  <c:v>309654</c:v>
                </c:pt>
                <c:pt idx="4">
                  <c:v>104854</c:v>
                </c:pt>
                <c:pt idx="5">
                  <c:v>-337240</c:v>
                </c:pt>
                <c:pt idx="6">
                  <c:v>-44995</c:v>
                </c:pt>
                <c:pt idx="7">
                  <c:v>-318962</c:v>
                </c:pt>
                <c:pt idx="8">
                  <c:v>-70794</c:v>
                </c:pt>
                <c:pt idx="9">
                  <c:v>297815</c:v>
                </c:pt>
              </c:numCache>
            </c:numRef>
          </c:val>
          <c:smooth val="0"/>
          <c:extLst>
            <c:ext xmlns:c16="http://schemas.microsoft.com/office/drawing/2014/chart" uri="{C3380CC4-5D6E-409C-BE32-E72D297353CC}">
              <c16:uniqueId val="{00000000-E082-425F-854F-C83C31044867}"/>
            </c:ext>
          </c:extLst>
        </c:ser>
        <c:dLbls>
          <c:dLblPos val="t"/>
          <c:showLegendKey val="0"/>
          <c:showVal val="1"/>
          <c:showCatName val="0"/>
          <c:showSerName val="0"/>
          <c:showPercent val="0"/>
          <c:showBubbleSize val="0"/>
        </c:dLbls>
        <c:upDownBars>
          <c:gapWidth val="315"/>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9646304"/>
        <c:axId val="199652128"/>
      </c:lineChart>
      <c:catAx>
        <c:axId val="199646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ln>
                  <a:noFill/>
                </a:ln>
                <a:solidFill>
                  <a:schemeClr val="tx1"/>
                </a:solidFill>
                <a:latin typeface="+mn-lt"/>
                <a:ea typeface="+mn-ea"/>
                <a:cs typeface="+mn-cs"/>
              </a:defRPr>
            </a:pPr>
            <a:endParaRPr lang="en-US"/>
          </a:p>
        </c:txPr>
        <c:crossAx val="199652128"/>
        <c:crosses val="autoZero"/>
        <c:auto val="1"/>
        <c:lblAlgn val="ctr"/>
        <c:lblOffset val="100"/>
        <c:noMultiLvlLbl val="0"/>
      </c:catAx>
      <c:valAx>
        <c:axId val="199652128"/>
        <c:scaling>
          <c:orientation val="minMax"/>
        </c:scaling>
        <c:delete val="0"/>
        <c:axPos val="l"/>
        <c:numFmt formatCode="&quot;MK&quot;#,##0.00_);[Red]\(&quot;MK&quot;#,##0.00\)" sourceLinked="1"/>
        <c:majorTickMark val="none"/>
        <c:minorTickMark val="none"/>
        <c:tickLblPos val="nextTo"/>
        <c:spPr>
          <a:noFill/>
          <a:ln>
            <a:noFill/>
          </a:ln>
          <a:effectLst>
            <a:outerShdw blurRad="50800" dist="50800" dir="5400000" sx="1000" sy="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9646304"/>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1</xdr:row>
      <xdr:rowOff>19051</xdr:rowOff>
    </xdr:from>
    <xdr:to>
      <xdr:col>8</xdr:col>
      <xdr:colOff>476250</xdr:colOff>
      <xdr:row>10</xdr:row>
      <xdr:rowOff>95251</xdr:rowOff>
    </xdr:to>
    <mc:AlternateContent xmlns:mc="http://schemas.openxmlformats.org/markup-compatibility/2006" xmlns:a14="http://schemas.microsoft.com/office/drawing/2010/main">
      <mc:Choice Requires="a14">
        <xdr:graphicFrame macro="">
          <xdr:nvGraphicFramePr>
            <xdr:cNvPr id="2"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8423275" y="209551"/>
              <a:ext cx="18161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71437</xdr:colOff>
      <xdr:row>6</xdr:row>
      <xdr:rowOff>25400</xdr:rowOff>
    </xdr:from>
    <xdr:to>
      <xdr:col>17</xdr:col>
      <xdr:colOff>411162</xdr:colOff>
      <xdr:row>20</xdr:row>
      <xdr:rowOff>101600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404812</xdr:colOff>
      <xdr:row>35</xdr:row>
      <xdr:rowOff>25400</xdr:rowOff>
    </xdr:from>
    <xdr:to>
      <xdr:col>17</xdr:col>
      <xdr:colOff>150812</xdr:colOff>
      <xdr:row>49</xdr:row>
      <xdr:rowOff>101600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515937</xdr:colOff>
      <xdr:row>35</xdr:row>
      <xdr:rowOff>80962</xdr:rowOff>
    </xdr:from>
    <xdr:to>
      <xdr:col>8</xdr:col>
      <xdr:colOff>277812</xdr:colOff>
      <xdr:row>49</xdr:row>
      <xdr:rowOff>157162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253998</xdr:colOff>
      <xdr:row>7</xdr:row>
      <xdr:rowOff>47625</xdr:rowOff>
    </xdr:from>
    <xdr:to>
      <xdr:col>52</xdr:col>
      <xdr:colOff>-1</xdr:colOff>
      <xdr:row>62</xdr:row>
      <xdr:rowOff>71437</xdr:rowOff>
    </xdr:to>
    <xdr:sp macro="" textlink="">
      <xdr:nvSpPr>
        <xdr:cNvPr id="6" name="Rounded Rectangle 5"/>
        <xdr:cNvSpPr/>
      </xdr:nvSpPr>
      <xdr:spPr>
        <a:xfrm>
          <a:off x="253998" y="1381125"/>
          <a:ext cx="31940501" cy="10501312"/>
        </a:xfrm>
        <a:prstGeom prst="roundRect">
          <a:avLst/>
        </a:prstGeom>
        <a:solidFill>
          <a:sysClr val="window" lastClr="FFFFFF"/>
        </a:solidFill>
        <a:ln cap="flat"/>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11</xdr:row>
      <xdr:rowOff>0</xdr:rowOff>
    </xdr:from>
    <xdr:to>
      <xdr:col>6</xdr:col>
      <xdr:colOff>47625</xdr:colOff>
      <xdr:row>32</xdr:row>
      <xdr:rowOff>9074</xdr:rowOff>
    </xdr:to>
    <xdr:sp macro="" textlink="">
      <xdr:nvSpPr>
        <xdr:cNvPr id="2" name="Rectangle 1"/>
        <xdr:cNvSpPr/>
      </xdr:nvSpPr>
      <xdr:spPr>
        <a:xfrm>
          <a:off x="1285875" y="2095500"/>
          <a:ext cx="2476500" cy="4009574"/>
        </a:xfrm>
        <a:prstGeom prst="rect">
          <a:avLst/>
        </a:prstGeom>
        <a:no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63500" sx="102000" sy="102000" algn="ctr" rotWithShape="0">
                <a:prstClr val="black">
                  <a:alpha val="40000"/>
                </a:prstClr>
              </a:outerShdw>
            </a:effectLst>
          </a:endParaRPr>
        </a:p>
      </xdr:txBody>
    </xdr:sp>
    <xdr:clientData/>
  </xdr:twoCellAnchor>
  <xdr:twoCellAnchor>
    <xdr:from>
      <xdr:col>6</xdr:col>
      <xdr:colOff>476251</xdr:colOff>
      <xdr:row>9</xdr:row>
      <xdr:rowOff>23813</xdr:rowOff>
    </xdr:from>
    <xdr:to>
      <xdr:col>20</xdr:col>
      <xdr:colOff>523876</xdr:colOff>
      <xdr:row>34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xdr:colOff>
      <xdr:row>34</xdr:row>
      <xdr:rowOff>0</xdr:rowOff>
    </xdr:from>
    <xdr:to>
      <xdr:col>20</xdr:col>
      <xdr:colOff>595313</xdr:colOff>
      <xdr:row>59</xdr:row>
      <xdr:rowOff>23813</xdr:rowOff>
    </xdr:to>
    <xdr:sp macro="" textlink="">
      <xdr:nvSpPr>
        <xdr:cNvPr id="4" name="Rounded Rectangle 3"/>
        <xdr:cNvSpPr/>
      </xdr:nvSpPr>
      <xdr:spPr>
        <a:xfrm>
          <a:off x="1238249" y="6477000"/>
          <a:ext cx="11739564" cy="4786313"/>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261937</xdr:colOff>
      <xdr:row>12</xdr:row>
      <xdr:rowOff>119063</xdr:rowOff>
    </xdr:from>
    <xdr:to>
      <xdr:col>5</xdr:col>
      <xdr:colOff>384562</xdr:colOff>
      <xdr:row>30</xdr:row>
      <xdr:rowOff>119063</xdr:rowOff>
    </xdr:to>
    <mc:AlternateContent xmlns:mc="http://schemas.openxmlformats.org/markup-compatibility/2006">
      <mc:Choice xmlns:a14="http://schemas.microsoft.com/office/drawing/2010/main" Requires="a14">
        <xdr:graphicFrame macro="">
          <xdr:nvGraphicFramePr>
            <xdr:cNvPr id="5" name="Day 1"/>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1500187" y="2405063"/>
              <a:ext cx="1980000" cy="342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33</xdr:row>
      <xdr:rowOff>166687</xdr:rowOff>
    </xdr:from>
    <xdr:to>
      <xdr:col>20</xdr:col>
      <xdr:colOff>107950</xdr:colOff>
      <xdr:row>61</xdr:row>
      <xdr:rowOff>166687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xdr:colOff>
      <xdr:row>8</xdr:row>
      <xdr:rowOff>0</xdr:rowOff>
    </xdr:from>
    <xdr:to>
      <xdr:col>50</xdr:col>
      <xdr:colOff>-1</xdr:colOff>
      <xdr:row>62</xdr:row>
      <xdr:rowOff>47626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Bright paipila" refreshedDate="46174.465531712965" backgroundQuery="1" createdVersion="6" refreshedVersion="6" minRefreshableVersion="3" recordCount="0" supportSubquery="1" supportAdvancedDrill="1">
  <cacheSource type="external" connectionId="1"/>
  <cacheFields count="3">
    <cacheField name="[Measures].[Sum of Difference_Outstanding]" caption="Sum of Difference_Outstanding" numFmtId="0" hierarchy="12" level="32767"/>
    <cacheField name="[Table1].[Outstanding].[Outstanding]" caption="Outstanding" numFmtId="0" hierarchy="3" level="1">
      <sharedItems containsSemiMixedTypes="0" containsNonDate="0" containsString="0" containsNumber="1" containsInteger="1" count="7">
        <n v="113539479"/>
        <n v="113036646"/>
        <n v="112353157"/>
        <n v="111360014"/>
        <n v="110262017"/>
        <n v="109501260"/>
        <n v="108785498"/>
      </sharedItems>
      <extLst>
        <ext xmlns:x15="http://schemas.microsoft.com/office/spreadsheetml/2010/11/main" uri="{4F2E5C28-24EA-4eb8-9CBF-B6C8F9C3D259}">
          <x15:cachedUniqueNames>
            <x15:cachedUniqueName index="0" name="[Table1].[Outstanding].&amp;[113539479]"/>
            <x15:cachedUniqueName index="1" name="[Table1].[Outstanding].&amp;[113036646]"/>
            <x15:cachedUniqueName index="2" name="[Table1].[Outstanding].&amp;[112353157]"/>
            <x15:cachedUniqueName index="3" name="[Table1].[Outstanding].&amp;[111360014]"/>
            <x15:cachedUniqueName index="4" name="[Table1].[Outstanding].&amp;[110262017]"/>
            <x15:cachedUniqueName index="5" name="[Table1].[Outstanding].&amp;[109501260]"/>
            <x15:cachedUniqueName index="6" name="[Table1].[Outstanding].&amp;[108785498]"/>
          </x15:cachedUniqueNames>
        </ext>
      </extLst>
    </cacheField>
    <cacheField name="[Table1].[Day].[Day]" caption="Day" numFmtId="0" hierarchy="1" level="1">
      <sharedItems containsSemiMixedTypes="0" containsNonDate="0" containsDate="1" containsString="0" minDate="2026-05-12T00:00:00" maxDate="2026-05-31T00:00:00" count="10">
        <d v="2026-05-12T00:00:00"/>
        <d v="2026-05-13T00:00:00"/>
        <d v="2026-05-15T00:00:00"/>
        <d v="2026-05-16T00:00:00"/>
        <d v="2026-05-21T00:00:00"/>
        <d v="2026-05-24T00:00:00"/>
        <d v="2026-05-26T00:00:00"/>
        <d v="2026-05-27T00:00:00"/>
        <d v="2026-05-28T00:00:00"/>
        <d v="2026-05-30T00:00:00"/>
      </sharedItems>
    </cacheField>
  </cacheFields>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fieldsUsage count="2">
        <fieldUsage x="-1"/>
        <fieldUsage x="2"/>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2" memberValueDatatype="20" unbalanced="0">
      <fieldsUsage count="2">
        <fieldUsage x="-1"/>
        <fieldUsage x="1"/>
      </fieldsUsage>
    </cacheHierarchy>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Bright paipila" refreshedDate="46174.465532175927" backgroundQuery="1" createdVersion="6" refreshedVersion="6" minRefreshableVersion="3" recordCount="0" supportSubquery="1" supportAdvancedDrill="1">
  <cacheSource type="external" connectionId="1"/>
  <cacheFields count="2">
    <cacheField name="[Measures].[Sum of Difference_Outstanding]" caption="Sum of Difference_Outstanding" numFmtId="0" hierarchy="12" level="32767"/>
    <cacheField name="[Table1].[Day].[Day]" caption="Day" numFmtId="0" hierarchy="1" level="1">
      <sharedItems containsSemiMixedTypes="0" containsNonDate="0" containsDate="1" containsString="0" minDate="2026-05-12T00:00:00" maxDate="2026-05-31T00:00:00" count="10">
        <d v="2026-05-12T00:00:00"/>
        <d v="2026-05-13T00:00:00"/>
        <d v="2026-05-15T00:00:00"/>
        <d v="2026-05-16T00:00:00"/>
        <d v="2026-05-21T00:00:00"/>
        <d v="2026-05-24T00:00:00"/>
        <d v="2026-05-26T00:00:00"/>
        <d v="2026-05-27T00:00:00"/>
        <d v="2026-05-28T00:00:00"/>
        <d v="2026-05-30T00:00:00"/>
      </sharedItems>
    </cacheField>
  </cacheFields>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fieldsUsage count="2">
        <fieldUsage x="-1"/>
        <fieldUsage x="1"/>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0" memberValueDatatype="20" unbalanced="0"/>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Bright paipila" refreshedDate="46174.465532523151" backgroundQuery="1" createdVersion="6" refreshedVersion="6" minRefreshableVersion="3" recordCount="0" supportSubquery="1" supportAdvancedDrill="1">
  <cacheSource type="external" connectionId="1"/>
  <cacheFields count="5">
    <cacheField name="[Table1].[Db id].[Db id]" caption="Db id" numFmtId="0" level="1">
      <sharedItems containsSemiMixedTypes="0" containsString="0" containsNumber="1" containsInteger="1" minValue="1" maxValue="12" count="10">
        <n v="1"/>
        <n v="2"/>
        <n v="4"/>
        <n v="5"/>
        <n v="6"/>
        <n v="8"/>
        <n v="9"/>
        <n v="10"/>
        <n v="11"/>
        <n v="12"/>
      </sharedItems>
      <extLst>
        <ext xmlns:x15="http://schemas.microsoft.com/office/spreadsheetml/2010/11/main" uri="{4F2E5C28-24EA-4eb8-9CBF-B6C8F9C3D259}">
          <x15:cachedUniqueNames>
            <x15:cachedUniqueName index="0" name="[Table1].[Db id].&amp;[1]"/>
            <x15:cachedUniqueName index="1" name="[Table1].[Db id].&amp;[2]"/>
            <x15:cachedUniqueName index="2" name="[Table1].[Db id].&amp;[4]"/>
            <x15:cachedUniqueName index="3" name="[Table1].[Db id].&amp;[5]"/>
            <x15:cachedUniqueName index="4" name="[Table1].[Db id].&amp;[6]"/>
            <x15:cachedUniqueName index="5" name="[Table1].[Db id].&amp;[8]"/>
            <x15:cachedUniqueName index="6" name="[Table1].[Db id].&amp;[9]"/>
            <x15:cachedUniqueName index="7" name="[Table1].[Db id].&amp;[10]"/>
            <x15:cachedUniqueName index="8" name="[Table1].[Db id].&amp;[11]"/>
            <x15:cachedUniqueName index="9" name="[Table1].[Db id].&amp;[12]"/>
          </x15:cachedUniqueNames>
        </ext>
      </extLst>
    </cacheField>
    <cacheField name="[Measures].[Sum of Outstanding]" caption="Sum of Outstanding" numFmtId="0" hierarchy="11" level="32767"/>
    <cacheField name="[Measures].[Sum of Difference_Outstanding]" caption="Sum of Difference_Outstanding" numFmtId="0" hierarchy="12" level="32767"/>
    <cacheField name="[Measures].[Sum of Difference_Rise]" caption="Sum of Difference_Rise" numFmtId="0" hierarchy="13" level="32767"/>
    <cacheField name="[Table1].[Day].[Day]" caption="Day" numFmtId="0" hierarchy="1" level="1">
      <sharedItems containsSemiMixedTypes="0" containsNonDate="0" containsString="0"/>
    </cacheField>
  </cacheFields>
  <cacheHierarchies count="14">
    <cacheHierarchy uniqueName="[Table1].[Db id]" caption="Db id" attribute="1" defaultMemberUniqueName="[Table1].[Db id].[All]" allUniqueName="[Table1].[Db id].[All]" dimensionUniqueName="[Table1]" displayFolder="" count="2" memberValueDatatype="20" unbalanced="0">
      <fieldsUsage count="2">
        <fieldUsage x="-1"/>
        <fieldUsage x="0"/>
      </fieldsUsage>
    </cacheHierarchy>
    <cacheHierarchy uniqueName="[Table1].[Day]" caption="Day" attribute="1" time="1" defaultMemberUniqueName="[Table1].[Day].[All]" allUniqueName="[Table1].[Day].[All]" dimensionUniqueName="[Table1]" displayFolder="" count="2" memberValueDatatype="7" unbalanced="0">
      <fieldsUsage count="2">
        <fieldUsage x="-1"/>
        <fieldUsage x="4"/>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0" memberValueDatatype="20" unbalanced="0"/>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Bright paipila" refreshedDate="46174.465532986113" backgroundQuery="1" createdVersion="6" refreshedVersion="6" minRefreshableVersion="3" recordCount="0" supportSubquery="1" supportAdvancedDrill="1">
  <cacheSource type="external" connectionId="1"/>
  <cacheFields count="3">
    <cacheField name="[Table1].[Outstanding].[Outstanding]" caption="Outstanding" numFmtId="0" hierarchy="3" level="1">
      <sharedItems containsSemiMixedTypes="0" containsNonDate="0" containsString="0" containsNumber="1" containsInteger="1" count="4">
        <n v="113539479"/>
        <n v="113036646"/>
        <n v="112353157"/>
        <n v="111353158"/>
      </sharedItems>
      <extLst>
        <ext xmlns:x15="http://schemas.microsoft.com/office/spreadsheetml/2010/11/main" uri="{4F2E5C28-24EA-4eb8-9CBF-B6C8F9C3D259}">
          <x15:cachedUniqueNames>
            <x15:cachedUniqueName index="0" name="[Table1].[Outstanding].&amp;[113539479]"/>
            <x15:cachedUniqueName index="1" name="[Table1].[Outstanding].&amp;[113036646]"/>
            <x15:cachedUniqueName index="2" name="[Table1].[Outstanding].&amp;[112353157]"/>
            <x15:cachedUniqueName index="3" name="[Table1].[Outstanding].&amp;[111353158]"/>
          </x15:cachedUniqueNames>
        </ext>
      </extLst>
    </cacheField>
    <cacheField name="[Table1].[Day].[Day]" caption="Day" numFmtId="0" hierarchy="1" level="1">
      <sharedItems containsSemiMixedTypes="0" containsNonDate="0" containsDate="1" containsString="0" minDate="2026-05-12T00:00:00" maxDate="2026-05-31T00:00:00" count="10">
        <d v="2026-05-12T00:00:00"/>
        <d v="2026-05-13T00:00:00"/>
        <d v="2026-05-15T00:00:00"/>
        <d v="2026-05-16T00:00:00"/>
        <d v="2026-05-21T00:00:00"/>
        <d v="2026-05-24T00:00:00"/>
        <d v="2026-05-26T00:00:00"/>
        <d v="2026-05-27T00:00:00"/>
        <d v="2026-05-28T00:00:00"/>
        <d v="2026-05-30T00:00:00"/>
      </sharedItems>
    </cacheField>
    <cacheField name="[Measures].[Sum of Difference_Rise]" caption="Sum of Difference_Rise" numFmtId="0" hierarchy="13" level="32767"/>
  </cacheFields>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fieldsUsage count="2">
        <fieldUsage x="-1"/>
        <fieldUsage x="1"/>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2" memberValueDatatype="20" unbalanced="0">
      <fieldsUsage count="2">
        <fieldUsage x="-1"/>
        <fieldUsage x="0"/>
      </fieldsUsage>
    </cacheHierarchy>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hidden="1">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Bright paipila" refreshedDate="46174.46223622684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0" memberValueDatatype="20" unbalanced="0"/>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hidden="1">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7">
  <location ref="A20:B31" firstHeaderRow="1" firstDataRow="1" firstDataCol="1"/>
  <pivotFields count="3">
    <pivotField axis="axisRow" allDrilled="1" showAll="0" dataSourceSort="1" defaultAttributeDrillState="1">
      <items count="5">
        <item x="0"/>
        <item x="1"/>
        <item x="2"/>
        <item x="3"/>
        <item t="default"/>
      </items>
    </pivotField>
    <pivotField axis="axisRow" allDrilled="1" showAll="0" dataSourceSort="1">
      <items count="11">
        <item x="0" e="0"/>
        <item x="1" e="0"/>
        <item x="2" e="0"/>
        <item x="3" e="0"/>
        <item x="4" e="0"/>
        <item x="5" e="0"/>
        <item x="6" e="0"/>
        <item x="7" e="0"/>
        <item x="8" e="0"/>
        <item x="9" e="0"/>
        <item t="default"/>
      </items>
    </pivotField>
    <pivotField dataField="1" showAll="0"/>
  </pivotFields>
  <rowFields count="2">
    <field x="1"/>
    <field x="0"/>
  </rowFields>
  <rowItems count="11">
    <i>
      <x/>
    </i>
    <i>
      <x v="1"/>
    </i>
    <i>
      <x v="2"/>
    </i>
    <i>
      <x v="3"/>
    </i>
    <i>
      <x v="4"/>
    </i>
    <i>
      <x v="5"/>
    </i>
    <i>
      <x v="6"/>
    </i>
    <i>
      <x v="7"/>
    </i>
    <i>
      <x v="8"/>
    </i>
    <i>
      <x v="9"/>
    </i>
    <i t="grand">
      <x/>
    </i>
  </rowItems>
  <colItems count="1">
    <i/>
  </colItems>
  <dataFields count="1">
    <dataField name="Sum of Difference_Rise" fld="2" baseField="0" baseItem="0" numFmtId="8"/>
  </dataFields>
  <chartFormats count="3">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pivotTables/pivotTable2.xml><?xml version="1.0" encoding="utf-8"?>
<pivotTableDefinition xmlns="http://schemas.openxmlformats.org/spreadsheetml/2006/main" name="PivotTable4" cacheId="8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D21:E32" firstHeaderRow="1" firstDataRow="1" firstDataCol="1"/>
  <pivotFields count="2">
    <pivotField dataField="1" showAll="0"/>
    <pivotField axis="axisRow" allDrilled="1" showAll="0" dataSourceSort="1" defaultAttributeDrillState="1">
      <items count="11">
        <item x="0"/>
        <item x="1"/>
        <item x="2"/>
        <item x="3"/>
        <item x="4"/>
        <item x="5"/>
        <item x="6"/>
        <item x="7"/>
        <item x="8"/>
        <item x="9"/>
        <item t="default"/>
      </items>
    </pivotField>
  </pivotFields>
  <rowFields count="1">
    <field x="1"/>
  </rowFields>
  <rowItems count="11">
    <i>
      <x/>
    </i>
    <i>
      <x v="1"/>
    </i>
    <i>
      <x v="2"/>
    </i>
    <i>
      <x v="3"/>
    </i>
    <i>
      <x v="4"/>
    </i>
    <i>
      <x v="5"/>
    </i>
    <i>
      <x v="6"/>
    </i>
    <i>
      <x v="7"/>
    </i>
    <i>
      <x v="8"/>
    </i>
    <i>
      <x v="9"/>
    </i>
    <i t="grand">
      <x/>
    </i>
  </rowItems>
  <colItems count="1">
    <i/>
  </colItems>
  <dataFields count="1">
    <dataField name="Sum of Difference_Outstanding" fld="0" baseField="0" baseItem="0" numFmtId="8"/>
  </dataFields>
  <chartFormats count="3">
    <chartFormat chart="15"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pivotTables/pivotTable3.xml><?xml version="1.0" encoding="utf-8"?>
<pivotTableDefinition xmlns="http://schemas.openxmlformats.org/spreadsheetml/2006/main" name="PivotTable2" cacheId="8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A2:D13" firstHeaderRow="0" firstDataRow="1" firstDataCol="1"/>
  <pivotFields count="5">
    <pivotField axis="axisRow" allDrilled="1" showAll="0" dataSourceSort="1" defaultAttributeDrillState="1">
      <items count="11">
        <item x="0"/>
        <item x="1"/>
        <item x="2"/>
        <item x="3"/>
        <item x="4"/>
        <item x="5"/>
        <item x="6"/>
        <item x="7"/>
        <item x="8"/>
        <item x="9"/>
        <item t="default"/>
      </items>
    </pivotField>
    <pivotField dataField="1" showAll="0"/>
    <pivotField dataField="1" showAll="0"/>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Outstanding" fld="1" baseField="0" baseItem="0"/>
    <dataField name="Sum of Difference_Outstanding" fld="2" baseField="0" baseItem="0"/>
    <dataField name="Sum of Difference_Rise" fld="3" baseField="0" baseItem="0"/>
  </dataField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pivotTables/pivotTable4.xml><?xml version="1.0" encoding="utf-8"?>
<pivotTableDefinition xmlns="http://schemas.openxmlformats.org/spreadsheetml/2006/main" name="PivotTable3" cacheId="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6:B47"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xis="axisRow" allDrilled="1" showAll="0" dataSourceSort="1">
      <items count="11">
        <item x="0" e="0"/>
        <item x="1" e="0"/>
        <item x="2" e="0"/>
        <item x="3" e="0"/>
        <item x="4" e="0"/>
        <item x="5" e="0"/>
        <item x="6" e="0"/>
        <item x="7" e="0"/>
        <item x="8" e="0"/>
        <item x="9" e="0"/>
        <item t="default"/>
      </items>
    </pivotField>
  </pivotFields>
  <rowFields count="2">
    <field x="2"/>
    <field x="1"/>
  </rowFields>
  <rowItems count="11">
    <i>
      <x/>
    </i>
    <i>
      <x v="1"/>
    </i>
    <i>
      <x v="2"/>
    </i>
    <i>
      <x v="3"/>
    </i>
    <i>
      <x v="4"/>
    </i>
    <i>
      <x v="5"/>
    </i>
    <i>
      <x v="6"/>
    </i>
    <i>
      <x v="7"/>
    </i>
    <i>
      <x v="8"/>
    </i>
    <i>
      <x v="9"/>
    </i>
    <i t="grand">
      <x/>
    </i>
  </rowItems>
  <colItems count="1">
    <i/>
  </colItems>
  <dataFields count="1">
    <dataField name="Sum of Difference_Outstanding" fld="0" baseField="0" baseItem="0" numFmtId="8"/>
  </dataFields>
  <chartFormats count="3">
    <chartFormat chart="13"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 sourceName="[Table1].[Day]">
  <pivotTables>
    <pivotTable tabId="3" name="PivotTable3"/>
    <pivotTable tabId="3" name="PivotTable4"/>
    <pivotTable tabId="3" name="PivotTable2"/>
    <pivotTable tabId="3" name="PivotTable1"/>
  </pivotTables>
  <data>
    <olap pivotCacheId="11">
      <levels count="2">
        <level uniqueName="[Table1].[Day].[(All)]" sourceCaption="(All)" count="0"/>
        <level uniqueName="[Table1].[Day].[Day]" sourceCaption="Day" count="12">
          <ranges>
            <range startItem="0">
              <i n="[Table1].[Day].&amp;[2026-05-12T00:00:00]" c="12/05/2026"/>
              <i n="[Table1].[Day].&amp;[2026-05-13T00:00:00]" c="13/05/2026"/>
              <i n="[Table1].[Day].&amp;[2026-05-15T00:00:00]" c="15/05/2026"/>
              <i n="[Table1].[Day].&amp;[2026-05-16T00:00:00]" c="16/05/2026"/>
              <i n="[Table1].[Day].&amp;[2026-05-21T00:00:00]" c="21/05/2026"/>
              <i n="[Table1].[Day].&amp;[2026-05-24T00:00:00]" c="24/05/2026"/>
              <i n="[Table1].[Day].&amp;[2026-05-26T00:00:00]" c="26/05/2026"/>
              <i n="[Table1].[Day].&amp;[2026-05-27T00:00:00]" c="27/05/2026"/>
              <i n="[Table1].[Day].&amp;[2026-05-28T00:00:00]" c="28/05/2026"/>
              <i n="[Table1].[Day].&amp;[2026-05-30T00:00:00]" c="30/05/2026"/>
              <i n="[Table1].[Day].&amp;" c="(blank)" nd="1"/>
              <i n="[Table1].[Day].&amp;[2026-05-14T00:00:00]" c="14/05/2026" nd="1"/>
            </range>
          </ranges>
        </level>
      </levels>
      <selections count="1">
        <selection n="[Table1].[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cache="Slicer_Day" caption="Day"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y 1" cache="Slicer_Day" caption="Day" level="1" style="SlicerStyleDark5" rowHeight="216000"/>
</slicers>
</file>

<file path=xl/tables/table1.xml><?xml version="1.0" encoding="utf-8"?>
<table xmlns="http://schemas.openxmlformats.org/spreadsheetml/2006/main" id="1" name="Table1" displayName="Table1" ref="A1:F16" totalsRowShown="0" headerRowDxfId="10" dataDxfId="1">
  <autoFilter ref="A1:F16"/>
  <tableColumns count="6">
    <tableColumn id="1" name="Db id" dataDxfId="6"/>
    <tableColumn id="22" name="Day" dataDxfId="5"/>
    <tableColumn id="3" name="Sales product" dataDxfId="4"/>
    <tableColumn id="2" name="Outstanding" dataDxfId="3"/>
    <tableColumn id="31" name="Difference_Outstanding" dataDxfId="0"/>
    <tableColumn id="5" name="Difference_Rise" dataDxfId="2"/>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C5" totalsRowShown="0">
  <autoFilter ref="A1:C5"/>
  <tableColumns count="3">
    <tableColumn id="1" name="ID" dataDxfId="9">
      <calculatedColumnFormula>ROW()-ROW(Table1[#Headers])</calculatedColumnFormula>
    </tableColumn>
    <tableColumn id="2" name="Day" dataDxfId="8"/>
    <tableColumn id="3" name="Collected" dataDxfId="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opLeftCell="D1" zoomScale="110" zoomScaleNormal="110" workbookViewId="0">
      <selection activeCell="E6" sqref="E6"/>
    </sheetView>
  </sheetViews>
  <sheetFormatPr defaultColWidth="29.7109375" defaultRowHeight="15" x14ac:dyDescent="0.25"/>
  <cols>
    <col min="1" max="3" width="29.7109375" style="1"/>
    <col min="4" max="5" width="29.7109375" style="3"/>
    <col min="6" max="6" width="33.85546875" style="1" customWidth="1"/>
    <col min="7" max="16384" width="29.7109375" style="1"/>
  </cols>
  <sheetData>
    <row r="1" spans="1:6" x14ac:dyDescent="0.25">
      <c r="A1" s="1" t="s">
        <v>0</v>
      </c>
      <c r="B1" s="1" t="s">
        <v>3</v>
      </c>
      <c r="C1" s="1" t="s">
        <v>1</v>
      </c>
      <c r="D1" s="3" t="s">
        <v>5</v>
      </c>
      <c r="E1" s="3" t="s">
        <v>4</v>
      </c>
      <c r="F1" s="3" t="s">
        <v>12</v>
      </c>
    </row>
    <row r="2" spans="1:6" x14ac:dyDescent="0.25">
      <c r="A2" s="9">
        <f>ROW()-ROW(Table1[#Headers])</f>
        <v>1</v>
      </c>
      <c r="B2" s="10">
        <v>46154</v>
      </c>
      <c r="C2" s="9" t="s">
        <v>2</v>
      </c>
      <c r="D2" s="13">
        <v>113539479</v>
      </c>
      <c r="E2" s="13">
        <f ca="1">IFERROR(OFFSET(Table1[[#This Row],[Outstanding]],-1,0) - Table1[[#This Row],[Outstanding]], 0)</f>
        <v>0</v>
      </c>
      <c r="F2" s="13">
        <v>0</v>
      </c>
    </row>
    <row r="3" spans="1:6" x14ac:dyDescent="0.25">
      <c r="A3" s="9">
        <f>ROW()-ROW(Table1[#Headers])</f>
        <v>2</v>
      </c>
      <c r="B3" s="10">
        <v>46155</v>
      </c>
      <c r="C3" s="9" t="s">
        <v>2</v>
      </c>
      <c r="D3" s="13">
        <v>113036646</v>
      </c>
      <c r="E3" s="13">
        <f ca="1">IFERROR(OFFSET(Table1[[#This Row],[Outstanding]],-1,0) - Table1[[#This Row],[Outstanding]], 0)</f>
        <v>502833</v>
      </c>
      <c r="F3" s="13">
        <f ca="1">SUM(Table1[[#This Row],[Difference_Outstanding]]-E2)</f>
        <v>502833</v>
      </c>
    </row>
    <row r="4" spans="1:6" x14ac:dyDescent="0.25">
      <c r="A4" s="14">
        <f>ROW()-ROW(Table1[#Headers])</f>
        <v>3</v>
      </c>
      <c r="B4" s="15">
        <v>46156</v>
      </c>
      <c r="C4" s="9" t="s">
        <v>2</v>
      </c>
      <c r="D4" s="16"/>
      <c r="E4" s="16"/>
      <c r="F4" s="16"/>
    </row>
    <row r="5" spans="1:6" x14ac:dyDescent="0.25">
      <c r="A5" s="9">
        <f>ROW()-ROW(Table1[#Headers])</f>
        <v>4</v>
      </c>
      <c r="B5" s="10">
        <v>46157</v>
      </c>
      <c r="C5" s="9" t="s">
        <v>2</v>
      </c>
      <c r="D5" s="17">
        <v>112353157</v>
      </c>
      <c r="E5" s="13">
        <f>SUM(D3-Table1[[#This Row],[Outstanding]])</f>
        <v>683489</v>
      </c>
      <c r="F5" s="13">
        <f ca="1">SUM(Table1[[#This Row],[Difference_Outstanding]]-E3)</f>
        <v>180656</v>
      </c>
    </row>
    <row r="6" spans="1:6" x14ac:dyDescent="0.25">
      <c r="A6" s="9">
        <f>ROW()-ROW(Table1[#Headers])</f>
        <v>5</v>
      </c>
      <c r="B6" s="10">
        <v>46158</v>
      </c>
      <c r="C6" s="9" t="s">
        <v>2</v>
      </c>
      <c r="D6" s="17">
        <v>111360014</v>
      </c>
      <c r="E6" s="13">
        <f>SUM(D5-Table1[[#This Row],[Outstanding]])</f>
        <v>993143</v>
      </c>
      <c r="F6" s="13">
        <f>SUM(Table1[[#This Row],[Difference_Outstanding]]-E5)</f>
        <v>309654</v>
      </c>
    </row>
    <row r="7" spans="1:6" x14ac:dyDescent="0.25">
      <c r="A7" s="9">
        <v>6</v>
      </c>
      <c r="B7" s="10">
        <v>46163</v>
      </c>
      <c r="C7" s="9" t="s">
        <v>2</v>
      </c>
      <c r="D7" s="17">
        <v>110262017</v>
      </c>
      <c r="E7" s="13">
        <f>SUM(D6-Table1[[#This Row],[Outstanding]])</f>
        <v>1097997</v>
      </c>
      <c r="F7" s="13">
        <f>SUM(Table1[[#This Row],[Difference_Outstanding]]-E6)</f>
        <v>104854</v>
      </c>
    </row>
    <row r="8" spans="1:6" x14ac:dyDescent="0.25">
      <c r="A8" s="9">
        <v>8</v>
      </c>
      <c r="B8" s="10">
        <v>46166</v>
      </c>
      <c r="C8" s="9" t="s">
        <v>2</v>
      </c>
      <c r="D8" s="13">
        <v>109501260</v>
      </c>
      <c r="E8" s="13">
        <f>SUM(D7-Table1[[#This Row],[Outstanding]])</f>
        <v>760757</v>
      </c>
      <c r="F8" s="13">
        <f>SUM(Table1[[#This Row],[Difference_Outstanding]]-E7)</f>
        <v>-337240</v>
      </c>
    </row>
    <row r="9" spans="1:6" x14ac:dyDescent="0.25">
      <c r="A9" s="9">
        <v>9</v>
      </c>
      <c r="B9" s="10">
        <v>46168</v>
      </c>
      <c r="C9" s="9" t="s">
        <v>2</v>
      </c>
      <c r="D9" s="17">
        <v>108785498</v>
      </c>
      <c r="E9" s="13">
        <f>SUM(D8-Table1[[#This Row],[Outstanding]])</f>
        <v>715762</v>
      </c>
      <c r="F9" s="13">
        <f>SUM(Table1[[#This Row],[Difference_Outstanding]]-E8)</f>
        <v>-44995</v>
      </c>
    </row>
    <row r="10" spans="1:6" x14ac:dyDescent="0.25">
      <c r="A10" s="9">
        <v>10</v>
      </c>
      <c r="B10" s="10">
        <v>46169</v>
      </c>
      <c r="C10" s="9" t="s">
        <v>2</v>
      </c>
      <c r="D10" s="18">
        <v>108388698</v>
      </c>
      <c r="E10" s="13">
        <f>SUM(D9-Table1[[#This Row],[Outstanding]])</f>
        <v>396800</v>
      </c>
      <c r="F10" s="13">
        <f>SUM(Table1[[#This Row],[Difference_Outstanding]]-E9)</f>
        <v>-318962</v>
      </c>
    </row>
    <row r="11" spans="1:6" x14ac:dyDescent="0.25">
      <c r="A11" s="9">
        <v>11</v>
      </c>
      <c r="B11" s="10">
        <v>46170</v>
      </c>
      <c r="C11" s="9" t="s">
        <v>2</v>
      </c>
      <c r="D11" s="18">
        <v>108062692</v>
      </c>
      <c r="E11" s="13">
        <f>SUM(D10-Table1[[#This Row],[Outstanding]])</f>
        <v>326006</v>
      </c>
      <c r="F11" s="13">
        <f>SUM(Table1[[#This Row],[Difference_Outstanding]]-E10)</f>
        <v>-70794</v>
      </c>
    </row>
    <row r="12" spans="1:6" x14ac:dyDescent="0.25">
      <c r="A12" s="9">
        <v>12</v>
      </c>
      <c r="B12" s="10">
        <v>46172</v>
      </c>
      <c r="C12" s="9" t="s">
        <v>2</v>
      </c>
      <c r="D12" s="18">
        <v>107438871</v>
      </c>
      <c r="E12" s="13">
        <f>SUM(D11-Table1[[#This Row],[Outstanding]])</f>
        <v>623821</v>
      </c>
      <c r="F12" s="13">
        <f>SUM(Table1[[#This Row],[Difference_Outstanding]]-E11)</f>
        <v>297815</v>
      </c>
    </row>
    <row r="13" spans="1:6" x14ac:dyDescent="0.25">
      <c r="A13" s="9"/>
      <c r="B13" s="9"/>
      <c r="C13" s="9"/>
      <c r="D13" s="13"/>
      <c r="E13" s="13"/>
      <c r="F13" s="9"/>
    </row>
    <row r="14" spans="1:6" x14ac:dyDescent="0.25">
      <c r="A14" s="9"/>
      <c r="B14" s="9"/>
      <c r="C14" s="9"/>
      <c r="D14" s="13"/>
      <c r="E14" s="13"/>
      <c r="F14" s="9"/>
    </row>
    <row r="15" spans="1:6" x14ac:dyDescent="0.25">
      <c r="A15" s="9"/>
      <c r="B15" s="9"/>
      <c r="C15" s="9"/>
      <c r="D15" s="13"/>
      <c r="E15" s="13"/>
      <c r="F15" s="9"/>
    </row>
    <row r="16" spans="1:6" x14ac:dyDescent="0.25">
      <c r="A16" s="9"/>
      <c r="B16" s="9"/>
      <c r="C16" s="9"/>
      <c r="D16" s="13"/>
      <c r="E16" s="13"/>
      <c r="F16" s="9"/>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defaultRowHeight="15" x14ac:dyDescent="0.25"/>
  <cols>
    <col min="1" max="2" width="33" style="1" customWidth="1"/>
    <col min="3" max="3" width="33" style="3" customWidth="1"/>
    <col min="5" max="5" width="9.140625" customWidth="1"/>
  </cols>
  <sheetData>
    <row r="1" spans="1:3" x14ac:dyDescent="0.25">
      <c r="A1" s="1" t="s">
        <v>7</v>
      </c>
      <c r="B1" s="1" t="s">
        <v>3</v>
      </c>
      <c r="C1" s="3" t="s">
        <v>6</v>
      </c>
    </row>
    <row r="2" spans="1:3" x14ac:dyDescent="0.25">
      <c r="A2" s="1">
        <f>ROW()-ROW(Table1[#Headers])</f>
        <v>1</v>
      </c>
      <c r="B2" s="2">
        <v>46154</v>
      </c>
      <c r="C2" s="3">
        <v>331600</v>
      </c>
    </row>
    <row r="3" spans="1:3" x14ac:dyDescent="0.25">
      <c r="A3" s="1">
        <f>ROW()-ROW(Table1[#Headers])</f>
        <v>2</v>
      </c>
      <c r="B3" s="2">
        <v>46155</v>
      </c>
      <c r="C3" s="3">
        <v>213600</v>
      </c>
    </row>
    <row r="4" spans="1:3" x14ac:dyDescent="0.25">
      <c r="A4" s="4">
        <f>ROW()-ROW(Table1[#Headers])</f>
        <v>3</v>
      </c>
      <c r="B4" s="5">
        <v>46156</v>
      </c>
      <c r="C4" s="6"/>
    </row>
    <row r="5" spans="1:3" x14ac:dyDescent="0.25">
      <c r="A5" s="1">
        <f>ROW()-ROW(Table1[#Headers])</f>
        <v>4</v>
      </c>
      <c r="B5" s="2">
        <v>46157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7"/>
  <sheetViews>
    <sheetView zoomScale="60" zoomScaleNormal="60" workbookViewId="0">
      <selection activeCell="D3" sqref="D3"/>
    </sheetView>
  </sheetViews>
  <sheetFormatPr defaultRowHeight="15" x14ac:dyDescent="0.25"/>
  <cols>
    <col min="1" max="1" width="19.7109375" customWidth="1"/>
    <col min="2" max="2" width="31.85546875" customWidth="1"/>
    <col min="3" max="3" width="41.28515625" customWidth="1"/>
    <col min="4" max="4" width="31.85546875" customWidth="1"/>
    <col min="5" max="5" width="41.28515625" bestFit="1" customWidth="1"/>
    <col min="6" max="6" width="10.7109375" bestFit="1" customWidth="1"/>
    <col min="7" max="7" width="11.28515625" bestFit="1" customWidth="1"/>
  </cols>
  <sheetData>
    <row r="2" spans="1:4" x14ac:dyDescent="0.25">
      <c r="A2" s="8" t="s">
        <v>8</v>
      </c>
      <c r="B2" t="s">
        <v>10</v>
      </c>
      <c r="C2" t="s">
        <v>11</v>
      </c>
      <c r="D2" t="s">
        <v>13</v>
      </c>
    </row>
    <row r="3" spans="1:4" x14ac:dyDescent="0.25">
      <c r="A3" s="9">
        <v>1</v>
      </c>
      <c r="B3" s="7">
        <v>113539479</v>
      </c>
      <c r="C3" s="7">
        <v>0</v>
      </c>
      <c r="D3" s="7">
        <v>0</v>
      </c>
    </row>
    <row r="4" spans="1:4" x14ac:dyDescent="0.25">
      <c r="A4" s="9">
        <v>2</v>
      </c>
      <c r="B4" s="7">
        <v>113036646</v>
      </c>
      <c r="C4" s="7">
        <v>502833</v>
      </c>
      <c r="D4" s="7">
        <v>502833</v>
      </c>
    </row>
    <row r="5" spans="1:4" x14ac:dyDescent="0.25">
      <c r="A5" s="9">
        <v>4</v>
      </c>
      <c r="B5" s="7">
        <v>112353157</v>
      </c>
      <c r="C5" s="7">
        <v>683489</v>
      </c>
      <c r="D5" s="7">
        <v>180656</v>
      </c>
    </row>
    <row r="6" spans="1:4" x14ac:dyDescent="0.25">
      <c r="A6" s="9">
        <v>5</v>
      </c>
      <c r="B6" s="7">
        <v>111360014</v>
      </c>
      <c r="C6" s="7">
        <v>993143</v>
      </c>
      <c r="D6" s="7">
        <v>309654</v>
      </c>
    </row>
    <row r="7" spans="1:4" x14ac:dyDescent="0.25">
      <c r="A7" s="9">
        <v>6</v>
      </c>
      <c r="B7" s="7">
        <v>110262017</v>
      </c>
      <c r="C7" s="7">
        <v>1097997</v>
      </c>
      <c r="D7" s="7">
        <v>104854</v>
      </c>
    </row>
    <row r="8" spans="1:4" x14ac:dyDescent="0.25">
      <c r="A8" s="9">
        <v>8</v>
      </c>
      <c r="B8" s="7">
        <v>109501260</v>
      </c>
      <c r="C8" s="7">
        <v>760757</v>
      </c>
      <c r="D8" s="7">
        <v>-337240</v>
      </c>
    </row>
    <row r="9" spans="1:4" x14ac:dyDescent="0.25">
      <c r="A9" s="9">
        <v>9</v>
      </c>
      <c r="B9" s="7">
        <v>108785498</v>
      </c>
      <c r="C9" s="7">
        <v>715762</v>
      </c>
      <c r="D9" s="7">
        <v>-44995</v>
      </c>
    </row>
    <row r="10" spans="1:4" x14ac:dyDescent="0.25">
      <c r="A10" s="9">
        <v>10</v>
      </c>
      <c r="B10" s="7">
        <v>108388698</v>
      </c>
      <c r="C10" s="7">
        <v>396800</v>
      </c>
      <c r="D10" s="7">
        <v>-318962</v>
      </c>
    </row>
    <row r="11" spans="1:4" x14ac:dyDescent="0.25">
      <c r="A11" s="9">
        <v>11</v>
      </c>
      <c r="B11" s="7">
        <v>108062692</v>
      </c>
      <c r="C11" s="7">
        <v>326006</v>
      </c>
      <c r="D11" s="7">
        <v>-70794</v>
      </c>
    </row>
    <row r="12" spans="1:4" x14ac:dyDescent="0.25">
      <c r="A12" s="9">
        <v>12</v>
      </c>
      <c r="B12" s="7">
        <v>107438871</v>
      </c>
      <c r="C12" s="7">
        <v>623821</v>
      </c>
      <c r="D12" s="7">
        <v>297815</v>
      </c>
    </row>
    <row r="13" spans="1:4" x14ac:dyDescent="0.25">
      <c r="A13" s="9" t="s">
        <v>9</v>
      </c>
      <c r="B13" s="7">
        <v>1102728332</v>
      </c>
      <c r="C13" s="7">
        <v>6100608</v>
      </c>
      <c r="D13" s="7">
        <v>623821</v>
      </c>
    </row>
    <row r="20" spans="1:5" x14ac:dyDescent="0.25">
      <c r="A20" s="8" t="s">
        <v>8</v>
      </c>
      <c r="B20" t="s">
        <v>13</v>
      </c>
    </row>
    <row r="21" spans="1:5" x14ac:dyDescent="0.25">
      <c r="A21" s="10">
        <v>46154</v>
      </c>
      <c r="B21" s="11">
        <v>0</v>
      </c>
      <c r="D21" s="8" t="s">
        <v>8</v>
      </c>
      <c r="E21" t="s">
        <v>11</v>
      </c>
    </row>
    <row r="22" spans="1:5" x14ac:dyDescent="0.25">
      <c r="A22" s="10">
        <v>46155</v>
      </c>
      <c r="B22" s="11">
        <v>502833</v>
      </c>
      <c r="D22" s="10">
        <v>46154</v>
      </c>
      <c r="E22" s="11">
        <v>0</v>
      </c>
    </row>
    <row r="23" spans="1:5" x14ac:dyDescent="0.25">
      <c r="A23" s="10">
        <v>46157</v>
      </c>
      <c r="B23" s="11">
        <v>180656</v>
      </c>
      <c r="D23" s="10">
        <v>46155</v>
      </c>
      <c r="E23" s="11">
        <v>502833</v>
      </c>
    </row>
    <row r="24" spans="1:5" x14ac:dyDescent="0.25">
      <c r="A24" s="10">
        <v>46158</v>
      </c>
      <c r="B24" s="11">
        <v>309654</v>
      </c>
      <c r="D24" s="10">
        <v>46157</v>
      </c>
      <c r="E24" s="11">
        <v>683489</v>
      </c>
    </row>
    <row r="25" spans="1:5" x14ac:dyDescent="0.25">
      <c r="A25" s="10">
        <v>46163</v>
      </c>
      <c r="B25" s="11">
        <v>104854</v>
      </c>
      <c r="D25" s="10">
        <v>46158</v>
      </c>
      <c r="E25" s="11">
        <v>993143</v>
      </c>
    </row>
    <row r="26" spans="1:5" x14ac:dyDescent="0.25">
      <c r="A26" s="10">
        <v>46166</v>
      </c>
      <c r="B26" s="11">
        <v>-337240</v>
      </c>
      <c r="D26" s="10">
        <v>46163</v>
      </c>
      <c r="E26" s="11">
        <v>1097997</v>
      </c>
    </row>
    <row r="27" spans="1:5" x14ac:dyDescent="0.25">
      <c r="A27" s="10">
        <v>46168</v>
      </c>
      <c r="B27" s="11">
        <v>-44995</v>
      </c>
      <c r="D27" s="10">
        <v>46166</v>
      </c>
      <c r="E27" s="11">
        <v>760757</v>
      </c>
    </row>
    <row r="28" spans="1:5" x14ac:dyDescent="0.25">
      <c r="A28" s="10">
        <v>46169</v>
      </c>
      <c r="B28" s="11">
        <v>-318962</v>
      </c>
      <c r="D28" s="10">
        <v>46168</v>
      </c>
      <c r="E28" s="11">
        <v>715762</v>
      </c>
    </row>
    <row r="29" spans="1:5" x14ac:dyDescent="0.25">
      <c r="A29" s="10">
        <v>46170</v>
      </c>
      <c r="B29" s="11">
        <v>-70794</v>
      </c>
      <c r="D29" s="10">
        <v>46169</v>
      </c>
      <c r="E29" s="11">
        <v>396800</v>
      </c>
    </row>
    <row r="30" spans="1:5" x14ac:dyDescent="0.25">
      <c r="A30" s="10">
        <v>46172</v>
      </c>
      <c r="B30" s="11">
        <v>297815</v>
      </c>
      <c r="D30" s="10">
        <v>46170</v>
      </c>
      <c r="E30" s="11">
        <v>326006</v>
      </c>
    </row>
    <row r="31" spans="1:5" x14ac:dyDescent="0.25">
      <c r="A31" s="9" t="s">
        <v>9</v>
      </c>
      <c r="B31" s="11">
        <v>623821</v>
      </c>
      <c r="D31" s="10">
        <v>46172</v>
      </c>
      <c r="E31" s="11">
        <v>623821</v>
      </c>
    </row>
    <row r="32" spans="1:5" x14ac:dyDescent="0.25">
      <c r="D32" s="9" t="s">
        <v>9</v>
      </c>
      <c r="E32" s="11">
        <v>6100608</v>
      </c>
    </row>
    <row r="36" spans="1:2" x14ac:dyDescent="0.25">
      <c r="A36" s="8" t="s">
        <v>8</v>
      </c>
      <c r="B36" t="s">
        <v>11</v>
      </c>
    </row>
    <row r="37" spans="1:2" x14ac:dyDescent="0.25">
      <c r="A37" s="10">
        <v>46154</v>
      </c>
      <c r="B37" s="11">
        <v>0</v>
      </c>
    </row>
    <row r="38" spans="1:2" x14ac:dyDescent="0.25">
      <c r="A38" s="10">
        <v>46155</v>
      </c>
      <c r="B38" s="11">
        <v>502833</v>
      </c>
    </row>
    <row r="39" spans="1:2" x14ac:dyDescent="0.25">
      <c r="A39" s="10">
        <v>46157</v>
      </c>
      <c r="B39" s="11">
        <v>683489</v>
      </c>
    </row>
    <row r="40" spans="1:2" x14ac:dyDescent="0.25">
      <c r="A40" s="10">
        <v>46158</v>
      </c>
      <c r="B40" s="11">
        <v>993143</v>
      </c>
    </row>
    <row r="41" spans="1:2" x14ac:dyDescent="0.25">
      <c r="A41" s="10">
        <v>46163</v>
      </c>
      <c r="B41" s="11">
        <v>1097997</v>
      </c>
    </row>
    <row r="42" spans="1:2" x14ac:dyDescent="0.25">
      <c r="A42" s="10">
        <v>46166</v>
      </c>
      <c r="B42" s="11">
        <v>760757</v>
      </c>
    </row>
    <row r="43" spans="1:2" x14ac:dyDescent="0.25">
      <c r="A43" s="10">
        <v>46168</v>
      </c>
      <c r="B43" s="11">
        <v>715762</v>
      </c>
    </row>
    <row r="44" spans="1:2" x14ac:dyDescent="0.25">
      <c r="A44" s="10">
        <v>46169</v>
      </c>
      <c r="B44" s="11">
        <v>396800</v>
      </c>
    </row>
    <row r="45" spans="1:2" x14ac:dyDescent="0.25">
      <c r="A45" s="10">
        <v>46170</v>
      </c>
      <c r="B45" s="11">
        <v>326006</v>
      </c>
    </row>
    <row r="46" spans="1:2" x14ac:dyDescent="0.25">
      <c r="A46" s="10">
        <v>46172</v>
      </c>
      <c r="B46" s="11">
        <v>623821</v>
      </c>
    </row>
    <row r="47" spans="1:2" x14ac:dyDescent="0.25">
      <c r="A47" s="9" t="s">
        <v>9</v>
      </c>
      <c r="B47" s="11">
        <v>6100608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10" zoomScale="40" zoomScaleNormal="40" workbookViewId="0">
      <selection activeCell="BA32" sqref="BA32"/>
    </sheetView>
  </sheetViews>
  <sheetFormatPr defaultRowHeight="15" x14ac:dyDescent="0.25"/>
  <cols>
    <col min="1" max="16384" width="9.140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Collected</vt:lpstr>
      <vt:lpstr>PIVOT</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Bright paipila</dc:creator>
  <cp:lastModifiedBy>Bright paipila</cp:lastModifiedBy>
  <dcterms:created xsi:type="dcterms:W3CDTF">2026-05-13T06:57:42Z</dcterms:created>
  <dcterms:modified xsi:type="dcterms:W3CDTF">2026-06-01T09:19:50Z</dcterms:modified>
</cp:coreProperties>
</file>